
<file path=[Content_Types].xml><?xml version="1.0" encoding="utf-8"?>
<Types xmlns="http://schemas.openxmlformats.org/package/2006/content-types">
  <Default Extension="vml" ContentType="application/vnd.openxmlformats-officedocument.vmlDrawing"/>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showHorizontalScroll="0" showVerticalScroll="0" windowWidth="18650" windowHeight="8150"/>
  </bookViews>
  <sheets>
    <sheet name="Gantt Chart Template" sheetId="1" r:id="rId1"/>
  </sheets>
  <calcPr calcId="144525"/>
</workbook>
</file>

<file path=xl/comments1.xml><?xml version="1.0" encoding="utf-8"?>
<comments xmlns="http://schemas.openxmlformats.org/spreadsheetml/2006/main">
  <authors>
    <author>PC</author>
  </authors>
  <commentList>
    <comment ref="B13" authorId="0">
      <text>
        <r>
          <rPr>
            <b/>
            <sz val="9"/>
            <rFont val="Tahoma"/>
            <charset val="134"/>
          </rPr>
          <t>PC:</t>
        </r>
        <r>
          <rPr>
            <sz val="9"/>
            <rFont val="Tahoma"/>
            <charset val="134"/>
          </rPr>
          <t xml:space="preserve">
Understand all function
+ Register bit/field: 20%
+ Counter: 20%
+ Counting mode: 20%
+ APB: 30%
+ interrupt: 10% </t>
        </r>
      </text>
    </comment>
    <comment ref="B14" authorId="0">
      <text>
        <r>
          <rPr>
            <b/>
            <sz val="9"/>
            <rFont val="Tahoma"/>
            <charset val="134"/>
          </rPr>
          <t>PC:</t>
        </r>
        <r>
          <rPr>
            <sz val="9"/>
            <rFont val="Tahoma"/>
            <charset val="134"/>
          </rPr>
          <t xml:space="preserve">
Design specification making
+ Feature list: 10%
+ Block diagram: 10%
+ IO port list: 10%
+ Waveform: 30%
+ Logic diagram: 40%</t>
        </r>
      </text>
    </comment>
    <comment ref="B15" authorId="0">
      <text>
        <r>
          <rPr>
            <b/>
            <sz val="9"/>
            <rFont val="Tahoma"/>
            <charset val="134"/>
          </rPr>
          <t>PC:</t>
        </r>
        <r>
          <rPr>
            <sz val="9"/>
            <rFont val="Tahoma"/>
            <charset val="134"/>
          </rPr>
          <t xml:space="preserve">
Calculate % based on your block diagram.
For example, your module has 5 block --&gt; each block can be 20%. Note that % for each block can be differ based on your estimation. </t>
        </r>
      </text>
    </comment>
    <comment ref="B16" authorId="0">
      <text>
        <r>
          <rPr>
            <b/>
            <sz val="9"/>
            <rFont val="Tahoma"/>
            <charset val="134"/>
          </rPr>
          <t>PC:</t>
        </r>
        <r>
          <rPr>
            <sz val="9"/>
            <rFont val="Tahoma"/>
            <charset val="134"/>
          </rPr>
          <t xml:space="preserve">
Compile DUT only: 50%
Write 1 simple tb, instantiate DUT and run 1 simulation (no stimulus) without Warnings/Errors: 50%</t>
        </r>
      </text>
    </comment>
    <comment ref="B17" authorId="0">
      <text>
        <r>
          <rPr>
            <b/>
            <sz val="9"/>
            <rFont val="Tahoma"/>
            <charset val="134"/>
          </rPr>
          <t>PC:</t>
        </r>
        <r>
          <rPr>
            <sz val="9"/>
            <rFont val="Tahoma"/>
            <charset val="134"/>
          </rPr>
          <t xml:space="preserve">
Write verification plans to cover all features of the design. The % based on your estimation.</t>
        </r>
      </text>
    </comment>
    <comment ref="B18" authorId="0">
      <text>
        <r>
          <rPr>
            <b/>
            <sz val="9"/>
            <rFont val="Tahoma"/>
            <charset val="134"/>
          </rPr>
          <t>PC:</t>
        </r>
        <r>
          <rPr>
            <sz val="9"/>
            <rFont val="Tahoma"/>
            <charset val="134"/>
          </rPr>
          <t xml:space="preserve">
Build necessary components for your env: APB master, checkers, scripts, report... ( task Apb_read and Apb_write and checker: pass,fail)</t>
        </r>
      </text>
    </comment>
    <comment ref="B19" authorId="0">
      <text>
        <r>
          <rPr>
            <b/>
            <sz val="9"/>
            <rFont val="Tahoma"/>
            <charset val="134"/>
          </rPr>
          <t>PC:</t>
        </r>
        <r>
          <rPr>
            <sz val="9"/>
            <rFont val="Tahoma"/>
            <charset val="134"/>
          </rPr>
          <t xml:space="preserve">
1PASS scenario (sanity test): a testcase that cover some basic functions of the design 
1. Write 0xffff to TCMP0 and read back
2. Enable interrupt 
3. Start timer
4. Check if interrupt can be asserted when timer reaches TDR0 value.</t>
        </r>
      </text>
    </comment>
    <comment ref="B20" authorId="0">
      <text>
        <r>
          <rPr>
            <b/>
            <sz val="9"/>
            <rFont val="Tahoma"/>
            <charset val="134"/>
          </rPr>
          <t>PC:</t>
        </r>
        <r>
          <rPr>
            <sz val="9"/>
            <rFont val="Tahoma"/>
            <charset val="134"/>
          </rPr>
          <t xml:space="preserve">
%done is calculated based on how many items already passed in your verification plan</t>
        </r>
      </text>
    </comment>
    <comment ref="B21" authorId="0">
      <text>
        <r>
          <rPr>
            <b/>
            <sz val="9"/>
            <rFont val="Tahoma"/>
            <charset val="134"/>
          </rPr>
          <t>PC:</t>
        </r>
        <r>
          <rPr>
            <sz val="9"/>
            <rFont val="Tahoma"/>
            <charset val="134"/>
          </rPr>
          <t xml:space="preserve">
Toggle: 20%
Statement: 20%
Expression: 20%
Condition: 20%
Branch: 20%</t>
        </r>
      </text>
    </comment>
  </commentList>
</comments>
</file>

<file path=xl/sharedStrings.xml><?xml version="1.0" encoding="utf-8"?>
<sst xmlns="http://schemas.openxmlformats.org/spreadsheetml/2006/main" count="20" uniqueCount="19">
  <si>
    <t>Project Timeline Template</t>
  </si>
  <si>
    <t>Project Name: Timer IP</t>
  </si>
  <si>
    <t>Task Name</t>
  </si>
  <si>
    <t>Start  (Date)</t>
  </si>
  <si>
    <t>End  (Date)</t>
  </si>
  <si>
    <t>Duration (Days)</t>
  </si>
  <si>
    <t>%done</t>
  </si>
  <si>
    <t>Column1</t>
  </si>
  <si>
    <t>Stuck point</t>
  </si>
  <si>
    <t>Investigation</t>
  </si>
  <si>
    <t>Design specification</t>
  </si>
  <si>
    <t>RTL coding</t>
  </si>
  <si>
    <t>Compilation</t>
  </si>
  <si>
    <t>Verification Plan</t>
  </si>
  <si>
    <t xml:space="preserve">Build env </t>
  </si>
  <si>
    <t>1Pass</t>
  </si>
  <si>
    <t>All Pass</t>
  </si>
  <si>
    <t>Coverage</t>
  </si>
  <si>
    <t>Total</t>
  </si>
</sst>
</file>

<file path=xl/styles.xml><?xml version="1.0" encoding="utf-8"?>
<styleSheet xmlns="http://schemas.openxmlformats.org/spreadsheetml/2006/main">
  <numFmts count="4">
    <numFmt numFmtId="176" formatCode="_-* #,##0\ &quot;₫&quot;_-;\-* #,##0\ &quot;₫&quot;_-;_-* &quot;-&quot;\ &quot;₫&quot;_-;_-@_-"/>
    <numFmt numFmtId="177" formatCode="_ * #,##0_ ;_ * \-#,##0_ ;_ * &quot;-&quot;_ ;_ @_ "/>
    <numFmt numFmtId="178" formatCode="_ * #,##0.00_ ;_ * \-#,##0.00_ ;_ * &quot;-&quot;??_ ;_ @_ "/>
    <numFmt numFmtId="179" formatCode="_-* #,##0.00\ &quot;₫&quot;_-;\-* #,##0.00\ &quot;₫&quot;_-;_-* &quot;-&quot;??\ &quot;₫&quot;_-;_-@_-"/>
  </numFmts>
  <fonts count="30">
    <font>
      <sz val="11"/>
      <color theme="1"/>
      <name val="Calibri"/>
      <charset val="134"/>
      <scheme val="minor"/>
    </font>
    <font>
      <b/>
      <sz val="18"/>
      <name val="Calibri"/>
      <charset val="134"/>
      <scheme val="minor"/>
    </font>
    <font>
      <sz val="16"/>
      <name val="Calibri"/>
      <charset val="134"/>
      <scheme val="minor"/>
    </font>
    <font>
      <sz val="12"/>
      <color theme="3" tint="0.399975585192419"/>
      <name val="Calibri"/>
      <charset val="134"/>
      <scheme val="minor"/>
    </font>
    <font>
      <b/>
      <sz val="14"/>
      <name val="Calibri"/>
      <charset val="134"/>
      <scheme val="minor"/>
    </font>
    <font>
      <b/>
      <sz val="14"/>
      <color theme="1"/>
      <name val="Calibri"/>
      <charset val="134"/>
      <scheme val="minor"/>
    </font>
    <font>
      <sz val="14"/>
      <color theme="1"/>
      <name val="Calibri"/>
      <charset val="134"/>
      <scheme val="minor"/>
    </font>
    <font>
      <b/>
      <sz val="11"/>
      <color theme="1"/>
      <name val="Calibri"/>
      <charset val="134"/>
      <scheme val="minor"/>
    </font>
    <font>
      <u/>
      <sz val="11"/>
      <color theme="10"/>
      <name val="Calibri"/>
      <charset val="134"/>
      <scheme val="minor"/>
    </font>
    <font>
      <u/>
      <sz val="18"/>
      <color theme="10"/>
      <name val="Calibri"/>
      <charset val="134"/>
      <scheme val="minor"/>
    </font>
    <font>
      <sz val="11"/>
      <color theme="1"/>
      <name val="Calibri"/>
      <charset val="0"/>
      <scheme val="minor"/>
    </font>
    <font>
      <sz val="11"/>
      <color theme="0"/>
      <name val="Calibri"/>
      <charset val="0"/>
      <scheme val="minor"/>
    </font>
    <font>
      <sz val="11"/>
      <color rgb="FF9C0006"/>
      <name val="Calibri"/>
      <charset val="0"/>
      <scheme val="minor"/>
    </font>
    <font>
      <b/>
      <sz val="13"/>
      <color theme="3"/>
      <name val="Calibri"/>
      <charset val="134"/>
      <scheme val="minor"/>
    </font>
    <font>
      <b/>
      <sz val="11"/>
      <color rgb="FF3F3F3F"/>
      <name val="Calibri"/>
      <charset val="0"/>
      <scheme val="minor"/>
    </font>
    <font>
      <i/>
      <sz val="11"/>
      <color rgb="FF7F7F7F"/>
      <name val="Calibri"/>
      <charset val="0"/>
      <scheme val="minor"/>
    </font>
    <font>
      <u/>
      <sz val="11"/>
      <color rgb="FF800080"/>
      <name val="Calibri"/>
      <charset val="0"/>
      <scheme val="minor"/>
    </font>
    <font>
      <b/>
      <sz val="11"/>
      <color rgb="FFFFFFFF"/>
      <name val="Calibri"/>
      <charset val="0"/>
      <scheme val="minor"/>
    </font>
    <font>
      <b/>
      <sz val="11"/>
      <color theme="1"/>
      <name val="Calibri"/>
      <charset val="0"/>
      <scheme val="minor"/>
    </font>
    <font>
      <b/>
      <sz val="18"/>
      <color theme="3"/>
      <name val="Calibri"/>
      <charset val="134"/>
      <scheme val="minor"/>
    </font>
    <font>
      <sz val="11"/>
      <color rgb="FF9C6500"/>
      <name val="Calibri"/>
      <charset val="0"/>
      <scheme val="minor"/>
    </font>
    <font>
      <sz val="11"/>
      <color rgb="FFFF0000"/>
      <name val="Calibri"/>
      <charset val="0"/>
      <scheme val="minor"/>
    </font>
    <font>
      <sz val="11"/>
      <color rgb="FFFA7D00"/>
      <name val="Calibri"/>
      <charset val="0"/>
      <scheme val="minor"/>
    </font>
    <font>
      <sz val="11"/>
      <color rgb="FF006100"/>
      <name val="Calibri"/>
      <charset val="0"/>
      <scheme val="minor"/>
    </font>
    <font>
      <b/>
      <sz val="15"/>
      <color theme="3"/>
      <name val="Calibri"/>
      <charset val="134"/>
      <scheme val="minor"/>
    </font>
    <font>
      <b/>
      <sz val="11"/>
      <color rgb="FFFA7D00"/>
      <name val="Calibri"/>
      <charset val="0"/>
      <scheme val="minor"/>
    </font>
    <font>
      <b/>
      <sz val="11"/>
      <color theme="3"/>
      <name val="Calibri"/>
      <charset val="134"/>
      <scheme val="minor"/>
    </font>
    <font>
      <sz val="11"/>
      <color rgb="FF3F3F76"/>
      <name val="Calibri"/>
      <charset val="0"/>
      <scheme val="minor"/>
    </font>
    <font>
      <sz val="9"/>
      <name val="Tahoma"/>
      <charset val="134"/>
    </font>
    <font>
      <b/>
      <sz val="9"/>
      <name val="Tahoma"/>
      <charset val="134"/>
    </font>
  </fonts>
  <fills count="34">
    <fill>
      <patternFill patternType="none"/>
    </fill>
    <fill>
      <patternFill patternType="gray125"/>
    </fill>
    <fill>
      <patternFill patternType="solid">
        <fgColor theme="0"/>
        <bgColor indexed="64"/>
      </patternFill>
    </fill>
    <fill>
      <patternFill patternType="solid">
        <fgColor theme="7" tint="0.599993896298105"/>
        <bgColor indexed="64"/>
      </patternFill>
    </fill>
    <fill>
      <patternFill patternType="solid">
        <fgColor theme="7"/>
        <bgColor indexed="64"/>
      </patternFill>
    </fill>
    <fill>
      <patternFill patternType="solid">
        <fgColor rgb="FFFFC7CE"/>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rgb="FFF2F2F2"/>
        <bgColor indexed="64"/>
      </patternFill>
    </fill>
    <fill>
      <patternFill patternType="solid">
        <fgColor rgb="FFA5A5A5"/>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5"/>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rgb="FFFFEB9C"/>
        <bgColor indexed="64"/>
      </patternFill>
    </fill>
    <fill>
      <patternFill patternType="solid">
        <fgColor theme="5" tint="0.599993896298105"/>
        <bgColor indexed="64"/>
      </patternFill>
    </fill>
    <fill>
      <patternFill patternType="solid">
        <fgColor theme="6"/>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rgb="FFC6EFCE"/>
        <bgColor indexed="64"/>
      </patternFill>
    </fill>
    <fill>
      <patternFill patternType="solid">
        <fgColor theme="7" tint="0.399975585192419"/>
        <bgColor indexed="64"/>
      </patternFill>
    </fill>
    <fill>
      <patternFill patternType="solid">
        <fgColor theme="8"/>
        <bgColor indexed="64"/>
      </patternFill>
    </fill>
    <fill>
      <patternFill patternType="solid">
        <fgColor theme="5"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4"/>
        <bgColor indexed="64"/>
      </patternFill>
    </fill>
    <fill>
      <patternFill patternType="solid">
        <fgColor rgb="FFFFCC99"/>
        <bgColor indexed="64"/>
      </patternFill>
    </fill>
  </fills>
  <borders count="11">
    <border>
      <left/>
      <right/>
      <top/>
      <bottom/>
      <diagonal/>
    </border>
    <border>
      <left/>
      <right/>
      <top/>
      <bottom style="thin">
        <color auto="1"/>
      </bottom>
      <diagonal/>
    </border>
    <border>
      <left style="thin">
        <color auto="1"/>
      </left>
      <right/>
      <top/>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0" fillId="0" borderId="0"/>
    <xf numFmtId="0" fontId="10" fillId="14" borderId="0" applyNumberFormat="0" applyBorder="0" applyAlignment="0" applyProtection="0">
      <alignment vertical="center"/>
    </xf>
    <xf numFmtId="178" fontId="0" fillId="0" borderId="0" applyFont="0" applyFill="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179" fontId="0" fillId="0" borderId="0" applyFont="0" applyFill="0" applyBorder="0" applyAlignment="0" applyProtection="0">
      <alignment vertical="center"/>
    </xf>
    <xf numFmtId="9" fontId="0" fillId="0" borderId="0" applyFont="0" applyFill="0" applyBorder="0" applyAlignment="0" applyProtection="0">
      <alignment vertical="center"/>
    </xf>
    <xf numFmtId="0" fontId="17" fillId="10" borderId="5" applyNumberFormat="0" applyAlignment="0" applyProtection="0">
      <alignment vertical="center"/>
    </xf>
    <xf numFmtId="0" fontId="13" fillId="0" borderId="3" applyNumberFormat="0" applyFill="0" applyAlignment="0" applyProtection="0">
      <alignment vertical="center"/>
    </xf>
    <xf numFmtId="0" fontId="0" fillId="22" borderId="8" applyNumberFormat="0" applyFont="0" applyAlignment="0" applyProtection="0">
      <alignment vertical="center"/>
    </xf>
    <xf numFmtId="0" fontId="8" fillId="0" borderId="0" applyNumberFormat="0" applyFill="0" applyBorder="0" applyAlignment="0" applyProtection="0"/>
    <xf numFmtId="0" fontId="11" fillId="27" borderId="0" applyNumberFormat="0" applyBorder="0" applyAlignment="0" applyProtection="0">
      <alignment vertical="center"/>
    </xf>
    <xf numFmtId="0" fontId="16" fillId="0" borderId="0" applyNumberFormat="0" applyFill="0" applyBorder="0" applyAlignment="0" applyProtection="0">
      <alignment vertical="center"/>
    </xf>
    <xf numFmtId="0" fontId="10" fillId="6" borderId="0" applyNumberFormat="0" applyBorder="0" applyAlignment="0" applyProtection="0">
      <alignment vertical="center"/>
    </xf>
    <xf numFmtId="0" fontId="21" fillId="0" borderId="0" applyNumberFormat="0" applyFill="0" applyBorder="0" applyAlignment="0" applyProtection="0">
      <alignment vertical="center"/>
    </xf>
    <xf numFmtId="0" fontId="10" fillId="18" borderId="0" applyNumberFormat="0" applyBorder="0" applyAlignment="0" applyProtection="0">
      <alignment vertical="center"/>
    </xf>
    <xf numFmtId="0" fontId="19"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4" fillId="0" borderId="3" applyNumberFormat="0" applyFill="0" applyAlignment="0" applyProtection="0">
      <alignment vertical="center"/>
    </xf>
    <xf numFmtId="0" fontId="26" fillId="0" borderId="10" applyNumberFormat="0" applyFill="0" applyAlignment="0" applyProtection="0">
      <alignment vertical="center"/>
    </xf>
    <xf numFmtId="0" fontId="26" fillId="0" borderId="0" applyNumberFormat="0" applyFill="0" applyBorder="0" applyAlignment="0" applyProtection="0">
      <alignment vertical="center"/>
    </xf>
    <xf numFmtId="0" fontId="27" fillId="33" borderId="9" applyNumberFormat="0" applyAlignment="0" applyProtection="0">
      <alignment vertical="center"/>
    </xf>
    <xf numFmtId="0" fontId="11" fillId="21" borderId="0" applyNumberFormat="0" applyBorder="0" applyAlignment="0" applyProtection="0">
      <alignment vertical="center"/>
    </xf>
    <xf numFmtId="0" fontId="23" fillId="26" borderId="0" applyNumberFormat="0" applyBorder="0" applyAlignment="0" applyProtection="0">
      <alignment vertical="center"/>
    </xf>
    <xf numFmtId="0" fontId="14" fillId="9" borderId="4" applyNumberFormat="0" applyAlignment="0" applyProtection="0">
      <alignment vertical="center"/>
    </xf>
    <xf numFmtId="0" fontId="10" fillId="25" borderId="0" applyNumberFormat="0" applyBorder="0" applyAlignment="0" applyProtection="0">
      <alignment vertical="center"/>
    </xf>
    <xf numFmtId="0" fontId="25" fillId="9" borderId="9" applyNumberFormat="0" applyAlignment="0" applyProtection="0">
      <alignment vertical="center"/>
    </xf>
    <xf numFmtId="0" fontId="22" fillId="0" borderId="7" applyNumberFormat="0" applyFill="0" applyAlignment="0" applyProtection="0">
      <alignment vertical="center"/>
    </xf>
    <xf numFmtId="0" fontId="18" fillId="0" borderId="6" applyNumberFormat="0" applyFill="0" applyAlignment="0" applyProtection="0">
      <alignment vertical="center"/>
    </xf>
    <xf numFmtId="0" fontId="12" fillId="5" borderId="0" applyNumberFormat="0" applyBorder="0" applyAlignment="0" applyProtection="0">
      <alignment vertical="center"/>
    </xf>
    <xf numFmtId="0" fontId="20" fillId="17" borderId="0" applyNumberFormat="0" applyBorder="0" applyAlignment="0" applyProtection="0">
      <alignment vertical="center"/>
    </xf>
    <xf numFmtId="0" fontId="11" fillId="32" borderId="0" applyNumberFormat="0" applyBorder="0" applyAlignment="0" applyProtection="0">
      <alignment vertical="center"/>
    </xf>
    <xf numFmtId="0" fontId="10" fillId="20" borderId="0" applyNumberFormat="0" applyBorder="0" applyAlignment="0" applyProtection="0">
      <alignment vertical="center"/>
    </xf>
    <xf numFmtId="0" fontId="11" fillId="16" borderId="0" applyNumberFormat="0" applyBorder="0" applyAlignment="0" applyProtection="0">
      <alignment vertical="center"/>
    </xf>
    <xf numFmtId="0" fontId="11" fillId="13" borderId="0" applyNumberFormat="0" applyBorder="0" applyAlignment="0" applyProtection="0">
      <alignment vertical="center"/>
    </xf>
    <xf numFmtId="0" fontId="10" fillId="31" borderId="0" applyNumberFormat="0" applyBorder="0" applyAlignment="0" applyProtection="0">
      <alignment vertical="center"/>
    </xf>
    <xf numFmtId="0" fontId="10" fillId="8" borderId="0" applyNumberFormat="0" applyBorder="0" applyAlignment="0" applyProtection="0">
      <alignment vertical="center"/>
    </xf>
    <xf numFmtId="0" fontId="11" fillId="29" borderId="0" applyNumberFormat="0" applyBorder="0" applyAlignment="0" applyProtection="0">
      <alignment vertical="center"/>
    </xf>
    <xf numFmtId="0" fontId="11" fillId="19" borderId="0" applyNumberFormat="0" applyBorder="0" applyAlignment="0" applyProtection="0">
      <alignment vertical="center"/>
    </xf>
    <xf numFmtId="0" fontId="10" fillId="7" borderId="0" applyNumberFormat="0" applyBorder="0" applyAlignment="0" applyProtection="0">
      <alignment vertical="center"/>
    </xf>
    <xf numFmtId="0" fontId="11" fillId="4" borderId="0" applyNumberFormat="0" applyBorder="0" applyAlignment="0" applyProtection="0">
      <alignment vertical="center"/>
    </xf>
    <xf numFmtId="0" fontId="10" fillId="12" borderId="0" applyNumberFormat="0" applyBorder="0" applyAlignment="0" applyProtection="0">
      <alignment vertical="center"/>
    </xf>
    <xf numFmtId="0" fontId="10" fillId="3" borderId="0" applyNumberFormat="0" applyBorder="0" applyAlignment="0" applyProtection="0">
      <alignment vertical="center"/>
    </xf>
    <xf numFmtId="0" fontId="11" fillId="28" borderId="0" applyNumberFormat="0" applyBorder="0" applyAlignment="0" applyProtection="0">
      <alignment vertical="center"/>
    </xf>
    <xf numFmtId="0" fontId="10" fillId="15" borderId="0" applyNumberFormat="0" applyBorder="0" applyAlignment="0" applyProtection="0">
      <alignment vertical="center"/>
    </xf>
    <xf numFmtId="0" fontId="11" fillId="24" borderId="0" applyNumberFormat="0" applyBorder="0" applyAlignment="0" applyProtection="0">
      <alignment vertical="center"/>
    </xf>
    <xf numFmtId="0" fontId="11" fillId="30" borderId="0" applyNumberFormat="0" applyBorder="0" applyAlignment="0" applyProtection="0">
      <alignment vertical="center"/>
    </xf>
    <xf numFmtId="0" fontId="10" fillId="11" borderId="0" applyNumberFormat="0" applyBorder="0" applyAlignment="0" applyProtection="0">
      <alignment vertical="center"/>
    </xf>
    <xf numFmtId="0" fontId="11" fillId="23" borderId="0" applyNumberFormat="0" applyBorder="0" applyAlignment="0" applyProtection="0">
      <alignment vertical="center"/>
    </xf>
  </cellStyleXfs>
  <cellXfs count="23">
    <xf numFmtId="0" fontId="0" fillId="0" borderId="0" xfId="0"/>
    <xf numFmtId="0" fontId="1" fillId="2" borderId="0" xfId="0" applyFont="1" applyFill="1" applyAlignment="1">
      <alignment horizontal="left" vertical="center"/>
    </xf>
    <xf numFmtId="0" fontId="0" fillId="2" borderId="0" xfId="0" applyFill="1" applyProtection="1">
      <protection locked="0"/>
    </xf>
    <xf numFmtId="0" fontId="2" fillId="2" borderId="0" xfId="0" applyFont="1" applyFill="1" applyProtection="1">
      <protection locked="0"/>
    </xf>
    <xf numFmtId="0" fontId="3" fillId="2" borderId="0" xfId="0" applyFont="1" applyFill="1" applyAlignment="1" applyProtection="1">
      <alignment horizontal="left" vertical="top"/>
      <protection locked="0"/>
    </xf>
    <xf numFmtId="0" fontId="3" fillId="2" borderId="0" xfId="0" applyFont="1" applyFill="1" applyProtection="1">
      <protection locked="0"/>
    </xf>
    <xf numFmtId="0" fontId="0" fillId="2" borderId="1" xfId="0" applyFill="1" applyBorder="1" applyProtection="1">
      <protection locked="0"/>
    </xf>
    <xf numFmtId="0" fontId="4" fillId="2" borderId="0" xfId="0" applyFont="1" applyFill="1" applyAlignment="1" applyProtection="1">
      <alignment horizontal="center" wrapText="1"/>
      <protection locked="0"/>
    </xf>
    <xf numFmtId="0" fontId="5" fillId="2" borderId="0" xfId="0" applyFont="1" applyFill="1" applyAlignment="1" applyProtection="1">
      <alignment horizontal="center" wrapText="1"/>
      <protection locked="0"/>
    </xf>
    <xf numFmtId="0" fontId="5" fillId="2" borderId="0" xfId="0" applyFont="1" applyFill="1" applyProtection="1">
      <protection locked="0"/>
    </xf>
    <xf numFmtId="0" fontId="6" fillId="2" borderId="0" xfId="0" applyFont="1" applyFill="1" applyAlignment="1" applyProtection="1">
      <alignment horizontal="left"/>
      <protection locked="0"/>
    </xf>
    <xf numFmtId="0" fontId="6" fillId="2" borderId="0" xfId="0" applyFont="1" applyFill="1" applyProtection="1">
      <protection locked="0"/>
    </xf>
    <xf numFmtId="58" fontId="6" fillId="2" borderId="0" xfId="0" applyNumberFormat="1" applyFont="1" applyFill="1" applyAlignment="1" applyProtection="1">
      <alignment horizontal="center"/>
      <protection locked="0"/>
    </xf>
    <xf numFmtId="0" fontId="6" fillId="2" borderId="0" xfId="0" applyFont="1" applyFill="1" applyAlignment="1">
      <alignment horizontal="center"/>
    </xf>
    <xf numFmtId="0" fontId="6" fillId="2" borderId="2" xfId="0" applyFont="1" applyFill="1" applyBorder="1" applyAlignment="1" applyProtection="1">
      <alignment horizontal="center"/>
      <protection locked="0"/>
    </xf>
    <xf numFmtId="0" fontId="6" fillId="2" borderId="0" xfId="0" applyFont="1" applyFill="1" applyAlignment="1" applyProtection="1">
      <alignment horizontal="center"/>
      <protection locked="0"/>
    </xf>
    <xf numFmtId="58" fontId="6" fillId="2" borderId="0" xfId="0" applyNumberFormat="1" applyFont="1" applyFill="1" applyProtection="1">
      <protection locked="0"/>
    </xf>
    <xf numFmtId="0" fontId="0" fillId="2" borderId="0" xfId="0" applyFill="1" applyAlignment="1" applyProtection="1">
      <alignment wrapText="1"/>
      <protection locked="0"/>
    </xf>
    <xf numFmtId="0" fontId="0" fillId="2" borderId="0" xfId="0" applyFill="1"/>
    <xf numFmtId="0" fontId="7" fillId="2" borderId="0" xfId="0" applyFont="1" applyFill="1" applyProtection="1">
      <protection locked="0"/>
    </xf>
    <xf numFmtId="0" fontId="8" fillId="2" borderId="0" xfId="10" applyFill="1" applyProtection="1">
      <protection locked="0"/>
    </xf>
    <xf numFmtId="0" fontId="9" fillId="2" borderId="0" xfId="10" applyFont="1" applyFill="1" applyAlignment="1" applyProtection="1">
      <alignment horizontal="center"/>
      <protection locked="0"/>
    </xf>
    <xf numFmtId="0" fontId="0" fillId="0" borderId="0" xfId="0" applyProtection="1">
      <protection locked="0"/>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6">
    <dxf>
      <font>
        <name val="Calibri"/>
        <scheme val="none"/>
        <strike val="0"/>
        <u val="none"/>
        <sz val="14"/>
        <color theme="1"/>
      </font>
      <fill>
        <patternFill patternType="solid">
          <bgColor theme="0"/>
        </patternFill>
      </fill>
      <alignment horizontal="left"/>
      <protection locked="0"/>
    </dxf>
    <dxf>
      <font>
        <name val="Calibri"/>
        <scheme val="none"/>
        <strike val="0"/>
        <u val="none"/>
        <sz val="14"/>
        <color theme="1"/>
      </font>
      <numFmt numFmtId="180" formatCode="m/d/yyyy"/>
      <fill>
        <patternFill patternType="solid">
          <bgColor theme="0"/>
        </patternFill>
      </fill>
      <protection locked="0"/>
    </dxf>
    <dxf>
      <font>
        <name val="Calibri"/>
        <scheme val="none"/>
        <strike val="0"/>
        <u val="none"/>
        <sz val="14"/>
        <color theme="1"/>
      </font>
      <numFmt numFmtId="181" formatCode="m/d/yyyy"/>
      <fill>
        <patternFill patternType="solid">
          <bgColor theme="0"/>
        </patternFill>
      </fill>
      <protection locked="0"/>
    </dxf>
    <dxf>
      <font>
        <name val="Calibri"/>
        <scheme val="none"/>
        <strike val="0"/>
        <u val="none"/>
        <sz val="14"/>
        <color theme="1"/>
      </font>
      <fill>
        <patternFill patternType="solid">
          <bgColor theme="0"/>
        </patternFill>
      </fill>
      <protection locked="0"/>
    </dxf>
    <dxf>
      <font>
        <name val="Calibri"/>
        <scheme val="none"/>
        <strike val="0"/>
        <u val="none"/>
        <sz val="14"/>
        <color theme="1"/>
      </font>
      <fill>
        <patternFill patternType="solid">
          <bgColor theme="0"/>
        </patternFill>
      </fill>
      <protection locked="0"/>
    </dxf>
    <dxf>
      <font>
        <name val="Calibri"/>
        <scheme val="none"/>
        <strike val="0"/>
        <u val="none"/>
        <sz val="14"/>
        <color theme="1"/>
      </font>
      <fill>
        <patternFill patternType="solid">
          <bgColor theme="0"/>
        </patternFill>
      </fill>
      <protection locked="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459383900691"/>
          <c:y val="0.0401234470391156"/>
          <c:w val="0.817673520998943"/>
          <c:h val="0.894449816649699"/>
        </c:manualLayout>
      </c:layout>
      <c:barChart>
        <c:barDir val="bar"/>
        <c:grouping val="stacked"/>
        <c:varyColors val="0"/>
        <c:ser>
          <c:idx val="1"/>
          <c:order val="0"/>
          <c:tx>
            <c:strRef>
              <c:f>'Gantt Chart Template'!$D$13:$D$21</c:f>
              <c:strCache>
                <c:ptCount val="1"/>
                <c:pt idx="0">
                  <c:v>08/06/2026 11/06/2026 18/06/2026 20/06/2026 27/06/2026 22/06/2026 25/06/2026 02/07/2026 05/07/2026</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'Gantt Chart Template'!$B$13:$B$21</c:f>
              <c:strCache>
                <c:ptCount val="9"/>
                <c:pt idx="0">
                  <c:v>Investigation</c:v>
                </c:pt>
                <c:pt idx="1">
                  <c:v>Design specification</c:v>
                </c:pt>
                <c:pt idx="2">
                  <c:v>RTL coding</c:v>
                </c:pt>
                <c:pt idx="3">
                  <c:v>Compilation</c:v>
                </c:pt>
                <c:pt idx="4">
                  <c:v>Verification Plan</c:v>
                </c:pt>
                <c:pt idx="5">
                  <c:v>Build env </c:v>
                </c:pt>
                <c:pt idx="6">
                  <c:v>1Pass</c:v>
                </c:pt>
                <c:pt idx="7">
                  <c:v>All Pass</c:v>
                </c:pt>
                <c:pt idx="8">
                  <c:v>Coverage</c:v>
                </c:pt>
              </c:strCache>
            </c:strRef>
          </c:cat>
          <c:val>
            <c:numRef>
              <c:f>'Gantt Chart Template'!$C$13:$C$21</c:f>
              <c:numCache>
                <c:formatCode>dd/mm/yyyy</c:formatCode>
                <c:ptCount val="9"/>
                <c:pt idx="0">
                  <c:v>46178</c:v>
                </c:pt>
                <c:pt idx="1">
                  <c:v>46178</c:v>
                </c:pt>
                <c:pt idx="2">
                  <c:v>46185</c:v>
                </c:pt>
                <c:pt idx="3">
                  <c:v>46192</c:v>
                </c:pt>
                <c:pt idx="4">
                  <c:v>46194</c:v>
                </c:pt>
                <c:pt idx="5">
                  <c:v>46194</c:v>
                </c:pt>
                <c:pt idx="6">
                  <c:v>46196</c:v>
                </c:pt>
                <c:pt idx="7">
                  <c:v>46199</c:v>
                </c:pt>
                <c:pt idx="8">
                  <c:v>46206</c:v>
                </c:pt>
              </c:numCache>
            </c:numRef>
          </c:val>
        </c:ser>
        <c:ser>
          <c:idx val="0"/>
          <c:order val="1"/>
          <c:tx>
            <c:strRef>
              <c:f>'Gantt Chart Template'!$E$13:$E$21</c:f>
              <c:strCache>
                <c:ptCount val="1"/>
                <c:pt idx="0">
                  <c:v>3 7 7 2 7 2 3 7 3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solidFill>
              <a:ln>
                <a:noFill/>
              </a:ln>
              <a:effectLst>
                <a:outerShdw blurRad="57150" dist="19050" dir="5400000" algn="ctr" rotWithShape="0">
                  <a:srgbClr val="000000">
                    <a:alpha val="63000"/>
                  </a:srgbClr>
                </a:outerShdw>
              </a:effectLst>
            </c:spPr>
          </c:dPt>
          <c:dPt>
            <c:idx val="1"/>
            <c:invertIfNegative val="0"/>
            <c:bubble3D val="0"/>
            <c:spPr>
              <a:solidFill>
                <a:schemeClr val="accent6"/>
              </a:solidFill>
              <a:ln>
                <a:noFill/>
              </a:ln>
              <a:effectLst>
                <a:outerShdw blurRad="57150" dist="19050" dir="5400000" algn="ctr" rotWithShape="0">
                  <a:srgbClr val="000000">
                    <a:alpha val="63000"/>
                  </a:srgbClr>
                </a:outerShdw>
              </a:effectLst>
            </c:spPr>
          </c:dPt>
          <c:dPt>
            <c:idx val="2"/>
            <c:invertIfNegative val="0"/>
            <c:bubble3D val="0"/>
            <c:spPr>
              <a:solidFill>
                <a:schemeClr val="accent6"/>
              </a:solidFill>
              <a:ln>
                <a:noFill/>
              </a:ln>
              <a:effectLst>
                <a:outerShdw blurRad="57150" dist="19050" dir="5400000" algn="ctr" rotWithShape="0">
                  <a:srgbClr val="000000">
                    <a:alpha val="63000"/>
                  </a:srgbClr>
                </a:outerShdw>
              </a:effectLst>
            </c:spPr>
          </c:dPt>
          <c:dPt>
            <c:idx val="3"/>
            <c:invertIfNegative val="0"/>
            <c:bubble3D val="0"/>
            <c:spPr>
              <a:solidFill>
                <a:schemeClr val="accent6"/>
              </a:solidFill>
              <a:ln>
                <a:noFill/>
              </a:ln>
              <a:effectLst>
                <a:outerShdw blurRad="57150" dist="19050" dir="5400000" algn="ctr" rotWithShape="0">
                  <a:srgbClr val="000000">
                    <a:alpha val="63000"/>
                  </a:srgbClr>
                </a:outerShdw>
              </a:effectLst>
            </c:spPr>
          </c:dPt>
          <c:dPt>
            <c:idx val="4"/>
            <c:invertIfNegative val="0"/>
            <c:bubble3D val="0"/>
            <c:spPr>
              <a:solidFill>
                <a:srgbClr val="00B0F0"/>
              </a:solidFill>
              <a:ln>
                <a:noFill/>
              </a:ln>
              <a:effectLst>
                <a:outerShdw blurRad="57150" dist="19050" dir="5400000" algn="ctr" rotWithShape="0">
                  <a:srgbClr val="000000">
                    <a:alpha val="63000"/>
                  </a:srgbClr>
                </a:outerShdw>
              </a:effectLst>
            </c:spPr>
          </c:dPt>
          <c:dPt>
            <c:idx val="5"/>
            <c:invertIfNegative val="0"/>
            <c:bubble3D val="0"/>
            <c:spPr>
              <a:solidFill>
                <a:srgbClr val="00B0F0"/>
              </a:solidFill>
              <a:ln>
                <a:noFill/>
              </a:ln>
              <a:effectLst>
                <a:outerShdw blurRad="57150" dist="19050" dir="5400000" algn="ctr" rotWithShape="0">
                  <a:srgbClr val="000000">
                    <a:alpha val="63000"/>
                  </a:srgbClr>
                </a:outerShdw>
              </a:effectLst>
            </c:spPr>
          </c:dPt>
          <c:dPt>
            <c:idx val="6"/>
            <c:invertIfNegative val="0"/>
            <c:bubble3D val="0"/>
            <c:spPr>
              <a:solidFill>
                <a:srgbClr val="00B0F0"/>
              </a:solidFill>
              <a:ln>
                <a:noFill/>
              </a:ln>
              <a:effectLst>
                <a:outerShdw blurRad="57150" dist="19050" dir="5400000" algn="ctr" rotWithShape="0">
                  <a:srgbClr val="000000">
                    <a:alpha val="63000"/>
                  </a:srgbClr>
                </a:outerShdw>
              </a:effectLst>
            </c:spPr>
          </c:dPt>
          <c:dPt>
            <c:idx val="7"/>
            <c:invertIfNegative val="0"/>
            <c:bubble3D val="0"/>
            <c:spPr>
              <a:solidFill>
                <a:srgbClr val="00B0F0"/>
              </a:solidFill>
              <a:ln>
                <a:noFill/>
              </a:ln>
              <a:effectLst>
                <a:outerShdw blurRad="57150" dist="19050" dir="5400000" algn="ctr" rotWithShape="0">
                  <a:srgbClr val="000000">
                    <a:alpha val="63000"/>
                  </a:srgbClr>
                </a:outerShdw>
              </a:effectLst>
            </c:spPr>
          </c:dPt>
          <c:dPt>
            <c:idx val="8"/>
            <c:invertIfNegative val="0"/>
            <c:bubble3D val="0"/>
            <c:spPr>
              <a:solidFill>
                <a:srgbClr val="00B0F0"/>
              </a:solidFill>
              <a:ln>
                <a:noFill/>
              </a:ln>
              <a:effectLst>
                <a:outerShdw blurRad="57150" dist="19050" dir="5400000" algn="ctr" rotWithShape="0">
                  <a:srgbClr val="000000">
                    <a:alpha val="63000"/>
                  </a:srgbClr>
                </a:outerShdw>
              </a:effectLst>
            </c:spPr>
          </c:dPt>
          <c:dLbls>
            <c:delete val="1"/>
          </c:dLbls>
          <c:cat>
            <c:strRef>
              <c:f>'Gantt Chart Template'!$B$13:$B$21</c:f>
              <c:strCache>
                <c:ptCount val="9"/>
                <c:pt idx="0">
                  <c:v>Investigation</c:v>
                </c:pt>
                <c:pt idx="1">
                  <c:v>Design specification</c:v>
                </c:pt>
                <c:pt idx="2">
                  <c:v>RTL coding</c:v>
                </c:pt>
                <c:pt idx="3">
                  <c:v>Compilation</c:v>
                </c:pt>
                <c:pt idx="4">
                  <c:v>Verification Plan</c:v>
                </c:pt>
                <c:pt idx="5">
                  <c:v>Build env </c:v>
                </c:pt>
                <c:pt idx="6">
                  <c:v>1Pass</c:v>
                </c:pt>
                <c:pt idx="7">
                  <c:v>All Pass</c:v>
                </c:pt>
                <c:pt idx="8">
                  <c:v>Coverage</c:v>
                </c:pt>
              </c:strCache>
            </c:strRef>
          </c:cat>
          <c:val>
            <c:numRef>
              <c:f>'Gantt Chart Template'!$E$13:$E$21</c:f>
              <c:numCache>
                <c:formatCode>General</c:formatCode>
                <c:ptCount val="9"/>
                <c:pt idx="0">
                  <c:v>3</c:v>
                </c:pt>
                <c:pt idx="1">
                  <c:v>7</c:v>
                </c:pt>
                <c:pt idx="2">
                  <c:v>7</c:v>
                </c:pt>
                <c:pt idx="3">
                  <c:v>2</c:v>
                </c:pt>
                <c:pt idx="4">
                  <c:v>7</c:v>
                </c:pt>
                <c:pt idx="5">
                  <c:v>2</c:v>
                </c:pt>
                <c:pt idx="6">
                  <c:v>3</c:v>
                </c:pt>
                <c:pt idx="7">
                  <c:v>7</c:v>
                </c:pt>
                <c:pt idx="8">
                  <c:v>3</c:v>
                </c:pt>
              </c:numCache>
            </c:numRef>
          </c:val>
        </c:ser>
        <c:dLbls>
          <c:showLegendKey val="0"/>
          <c:showVal val="0"/>
          <c:showCatName val="0"/>
          <c:showSerName val="0"/>
          <c:showPercent val="0"/>
          <c:showBubbleSize val="0"/>
        </c:dLbls>
        <c:gapWidth val="109"/>
        <c:overlap val="100"/>
        <c:axId val="484394144"/>
        <c:axId val="484394928"/>
      </c:barChart>
      <c:catAx>
        <c:axId val="484394144"/>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200" b="1" i="0" u="none" strike="noStrike" kern="1200" baseline="0">
                <a:solidFill>
                  <a:schemeClr val="lt1">
                    <a:lumMod val="85000"/>
                  </a:schemeClr>
                </a:solidFill>
                <a:latin typeface="+mn-lt"/>
                <a:ea typeface="+mn-ea"/>
                <a:cs typeface="+mn-cs"/>
              </a:defRPr>
            </a:pPr>
          </a:p>
        </c:txPr>
        <c:crossAx val="484394928"/>
        <c:crosses val="autoZero"/>
        <c:auto val="1"/>
        <c:lblAlgn val="ctr"/>
        <c:lblOffset val="100"/>
        <c:noMultiLvlLbl val="0"/>
      </c:catAx>
      <c:valAx>
        <c:axId val="484394928"/>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high"/>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48439414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12</xdr:col>
      <xdr:colOff>37822</xdr:colOff>
      <xdr:row>10</xdr:row>
      <xdr:rowOff>43345</xdr:rowOff>
    </xdr:from>
    <xdr:to>
      <xdr:col>24</xdr:col>
      <xdr:colOff>355324</xdr:colOff>
      <xdr:row>29</xdr:row>
      <xdr:rowOff>14771</xdr:rowOff>
    </xdr:to>
    <xdr:graphicFrame>
      <xdr:nvGraphicFramePr>
        <xdr:cNvPr id="2" name="Chart 1"/>
        <xdr:cNvGraphicFramePr/>
      </xdr:nvGraphicFramePr>
      <xdr:xfrm>
        <a:off x="10267315" y="2808605"/>
        <a:ext cx="7797800" cy="431482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oneCell">
    <xdr:from>
      <xdr:col>10</xdr:col>
      <xdr:colOff>340179</xdr:colOff>
      <xdr:row>0</xdr:row>
      <xdr:rowOff>0</xdr:rowOff>
    </xdr:from>
    <xdr:to>
      <xdr:col>16</xdr:col>
      <xdr:colOff>388711</xdr:colOff>
      <xdr:row>3</xdr:row>
      <xdr:rowOff>135825</xdr:rowOff>
    </xdr:to>
    <xdr:pic>
      <xdr:nvPicPr>
        <xdr:cNvPr id="8" name="Picture 7"/>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9324975" y="0"/>
          <a:ext cx="3795395" cy="998855"/>
        </a:xfrm>
        <a:prstGeom prst="rect">
          <a:avLst/>
        </a:prstGeom>
      </xdr:spPr>
    </xdr:pic>
    <xdr:clientData/>
  </xdr:twoCellAnchor>
</xdr:wsDr>
</file>

<file path=xl/tables/table1.xml><?xml version="1.0" encoding="utf-8"?>
<table xmlns="http://schemas.openxmlformats.org/spreadsheetml/2006/main" id="4" name="Table15" displayName="Table15" ref="B11:G22" totalsRowShown="0">
  <autoFilter ref="B11:G22"/>
  <tableColumns count="6">
    <tableColumn id="1" name="Task Name" dataDxfId="0"/>
    <tableColumn id="2" name="Start  (Date)" dataDxfId="1"/>
    <tableColumn id="3" name="End  (Date)" dataDxfId="2"/>
    <tableColumn id="4" name="Duration (Days)" dataDxfId="3"/>
    <tableColumn id="5" name="%done" dataDxfId="4"/>
    <tableColumn id="6" name="Column1" dataDxfId="5"/>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table" Target="../tables/table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69"/>
  <sheetViews>
    <sheetView tabSelected="1" zoomScale="80" zoomScaleNormal="80" topLeftCell="A9" workbookViewId="0">
      <selection activeCell="J18" sqref="J18"/>
    </sheetView>
  </sheetViews>
  <sheetFormatPr defaultColWidth="8.90909090909091" defaultRowHeight="14.5"/>
  <cols>
    <col min="2" max="2" width="27.4545454545455" customWidth="1"/>
    <col min="3" max="3" width="13.6363636363636" customWidth="1"/>
    <col min="4" max="4" width="15.3636363636364" customWidth="1"/>
    <col min="5" max="6" width="12.0909090909091" customWidth="1"/>
    <col min="7" max="7" width="12.3636363636364" customWidth="1"/>
    <col min="14" max="14" width="9.09090909090909" customWidth="1"/>
  </cols>
  <sheetData>
    <row r="1" ht="23.5" spans="1:40">
      <c r="A1" s="1" t="s">
        <v>0</v>
      </c>
      <c r="B1" s="1"/>
      <c r="C1" s="1"/>
      <c r="D1" s="1"/>
      <c r="E1" s="1"/>
      <c r="F1" s="1"/>
      <c r="G1" s="2"/>
      <c r="H1" s="2"/>
      <c r="I1" s="2"/>
      <c r="J1" s="2"/>
      <c r="K1" s="2"/>
      <c r="L1" s="2"/>
      <c r="M1" s="2"/>
      <c r="N1" s="2"/>
      <c r="O1" s="2"/>
      <c r="P1" s="2"/>
      <c r="Q1" s="2"/>
      <c r="R1" s="2"/>
      <c r="S1" s="2"/>
      <c r="T1" s="2"/>
      <c r="U1" s="2"/>
      <c r="V1" s="2"/>
      <c r="W1" s="2"/>
      <c r="X1" s="2"/>
      <c r="Y1" s="2"/>
      <c r="Z1" s="2"/>
      <c r="AA1" s="2"/>
      <c r="AB1" s="2"/>
      <c r="AC1" s="2"/>
      <c r="AD1" s="2"/>
      <c r="AE1" s="2"/>
      <c r="AF1" s="2"/>
      <c r="AG1" s="2"/>
      <c r="AH1" s="2"/>
      <c r="AI1" s="22"/>
      <c r="AJ1" s="22"/>
      <c r="AK1" s="22"/>
      <c r="AL1" s="22"/>
      <c r="AM1" s="22"/>
      <c r="AN1" s="22"/>
    </row>
    <row r="2" ht="23.5" spans="1:40">
      <c r="A2" s="1"/>
      <c r="B2" s="1"/>
      <c r="C2" s="1"/>
      <c r="D2" s="1"/>
      <c r="E2" s="1"/>
      <c r="F2" s="1"/>
      <c r="G2" s="2"/>
      <c r="H2" s="2"/>
      <c r="I2" s="2"/>
      <c r="J2" s="2"/>
      <c r="K2" s="2"/>
      <c r="L2" s="2"/>
      <c r="M2" s="2"/>
      <c r="N2" s="2"/>
      <c r="O2" s="2"/>
      <c r="P2" s="2"/>
      <c r="Q2" s="2"/>
      <c r="R2" s="2"/>
      <c r="S2" s="2"/>
      <c r="T2" s="2"/>
      <c r="U2" s="2"/>
      <c r="V2" s="2"/>
      <c r="W2" s="2"/>
      <c r="X2" s="2"/>
      <c r="Y2" s="2"/>
      <c r="Z2" s="2"/>
      <c r="AA2" s="2"/>
      <c r="AB2" s="2"/>
      <c r="AC2" s="22"/>
      <c r="AD2" s="22"/>
      <c r="AE2" s="22"/>
      <c r="AF2" s="22"/>
      <c r="AG2" s="22"/>
      <c r="AH2" s="22"/>
      <c r="AI2" s="22"/>
      <c r="AJ2" s="22"/>
      <c r="AK2" s="22"/>
      <c r="AL2" s="22"/>
      <c r="AM2" s="22"/>
      <c r="AN2" s="22"/>
    </row>
    <row r="3" ht="21" spans="1:40">
      <c r="A3" s="3" t="s">
        <v>1</v>
      </c>
      <c r="B3" s="4"/>
      <c r="C3" s="4"/>
      <c r="D3" s="5"/>
      <c r="E3" s="5"/>
      <c r="F3" s="5"/>
      <c r="G3" s="2"/>
      <c r="H3" s="2"/>
      <c r="I3" s="2"/>
      <c r="J3" s="2"/>
      <c r="K3" s="2"/>
      <c r="L3" s="2"/>
      <c r="M3" s="2"/>
      <c r="N3" s="2"/>
      <c r="O3" s="2"/>
      <c r="P3" s="2"/>
      <c r="Q3" s="2"/>
      <c r="R3" s="2"/>
      <c r="S3" s="2"/>
      <c r="T3" s="2"/>
      <c r="U3" s="2"/>
      <c r="V3" s="2"/>
      <c r="W3" s="2"/>
      <c r="X3" s="2"/>
      <c r="Y3" s="2"/>
      <c r="Z3" s="2"/>
      <c r="AA3" s="2"/>
      <c r="AB3" s="2"/>
      <c r="AC3" s="22"/>
      <c r="AD3" s="22"/>
      <c r="AE3" s="22"/>
      <c r="AF3" s="22"/>
      <c r="AG3" s="22"/>
      <c r="AH3" s="22"/>
      <c r="AI3" s="22"/>
      <c r="AJ3" s="22"/>
      <c r="AK3" s="22"/>
      <c r="AL3" s="22"/>
      <c r="AM3" s="22"/>
      <c r="AN3" s="22"/>
    </row>
    <row r="4" ht="21" spans="1:40">
      <c r="A4" s="3"/>
      <c r="B4" s="4"/>
      <c r="C4" s="4"/>
      <c r="D4" s="5"/>
      <c r="E4" s="5"/>
      <c r="F4" s="5"/>
      <c r="G4" s="2"/>
      <c r="H4" s="2"/>
      <c r="I4" s="2"/>
      <c r="J4" s="2"/>
      <c r="K4" s="2"/>
      <c r="L4" s="2"/>
      <c r="M4" s="2"/>
      <c r="N4" s="2"/>
      <c r="O4" s="2"/>
      <c r="P4" s="2"/>
      <c r="Q4" s="2"/>
      <c r="R4" s="2"/>
      <c r="S4" s="2"/>
      <c r="T4" s="2"/>
      <c r="U4" s="2"/>
      <c r="V4" s="2"/>
      <c r="W4" s="2"/>
      <c r="X4" s="2"/>
      <c r="Y4" s="2"/>
      <c r="Z4" s="2"/>
      <c r="AA4" s="2"/>
      <c r="AB4" s="2"/>
      <c r="AC4" s="22"/>
      <c r="AD4" s="22"/>
      <c r="AE4" s="22"/>
      <c r="AF4" s="22"/>
      <c r="AG4" s="22"/>
      <c r="AH4" s="22"/>
      <c r="AI4" s="22"/>
      <c r="AJ4" s="22"/>
      <c r="AK4" s="22"/>
      <c r="AL4" s="22"/>
      <c r="AM4" s="22"/>
      <c r="AN4" s="22"/>
    </row>
    <row r="5" ht="21" spans="1:40">
      <c r="A5" s="3"/>
      <c r="B5" s="4"/>
      <c r="C5" s="4"/>
      <c r="D5" s="5"/>
      <c r="E5" s="5"/>
      <c r="F5" s="5"/>
      <c r="G5" s="2"/>
      <c r="H5" s="2"/>
      <c r="I5" s="2"/>
      <c r="J5" s="2"/>
      <c r="K5" s="2"/>
      <c r="L5" s="2"/>
      <c r="M5" s="2"/>
      <c r="N5" s="2"/>
      <c r="O5" s="2"/>
      <c r="P5" s="2"/>
      <c r="Q5" s="2"/>
      <c r="R5" s="2"/>
      <c r="S5" s="2"/>
      <c r="T5" s="2"/>
      <c r="U5" s="2"/>
      <c r="V5" s="2"/>
      <c r="W5" s="2"/>
      <c r="X5" s="2"/>
      <c r="Y5" s="2"/>
      <c r="Z5" s="2"/>
      <c r="AA5" s="2"/>
      <c r="AB5" s="2"/>
      <c r="AC5" s="22"/>
      <c r="AD5" s="22"/>
      <c r="AE5" s="22"/>
      <c r="AF5" s="22"/>
      <c r="AG5" s="22"/>
      <c r="AH5" s="22"/>
      <c r="AI5" s="22"/>
      <c r="AJ5" s="22"/>
      <c r="AK5" s="22"/>
      <c r="AL5" s="22"/>
      <c r="AM5" s="22"/>
      <c r="AN5" s="22"/>
    </row>
    <row r="6" ht="21" spans="1:40">
      <c r="A6" s="3"/>
      <c r="B6" s="4"/>
      <c r="C6" s="4"/>
      <c r="D6" s="5"/>
      <c r="E6" s="5"/>
      <c r="F6" s="5"/>
      <c r="G6" s="2"/>
      <c r="H6" s="2"/>
      <c r="I6" s="2"/>
      <c r="J6" s="2"/>
      <c r="K6" s="2"/>
      <c r="L6" s="2"/>
      <c r="M6" s="2"/>
      <c r="N6" s="2"/>
      <c r="O6" s="2"/>
      <c r="P6" s="2"/>
      <c r="Q6" s="2"/>
      <c r="R6" s="2"/>
      <c r="S6" s="2"/>
      <c r="T6" s="2"/>
      <c r="U6" s="2"/>
      <c r="V6" s="2"/>
      <c r="W6" s="2"/>
      <c r="X6" s="2"/>
      <c r="Y6" s="2"/>
      <c r="Z6" s="2"/>
      <c r="AA6" s="2"/>
      <c r="AB6" s="2"/>
      <c r="AC6" s="22"/>
      <c r="AD6" s="22"/>
      <c r="AE6" s="22"/>
      <c r="AF6" s="22"/>
      <c r="AG6" s="22"/>
      <c r="AH6" s="22"/>
      <c r="AI6" s="22"/>
      <c r="AJ6" s="22"/>
      <c r="AK6" s="22"/>
      <c r="AL6" s="22"/>
      <c r="AM6" s="22"/>
      <c r="AN6" s="22"/>
    </row>
    <row r="7" ht="21" spans="1:40">
      <c r="A7" s="3"/>
      <c r="B7" s="4"/>
      <c r="C7" s="4"/>
      <c r="D7" s="5"/>
      <c r="E7" s="5"/>
      <c r="F7" s="5"/>
      <c r="G7" s="2"/>
      <c r="H7" s="2"/>
      <c r="I7" s="2"/>
      <c r="J7" s="2"/>
      <c r="K7" s="2"/>
      <c r="L7" s="2"/>
      <c r="M7" s="2"/>
      <c r="N7" s="2"/>
      <c r="O7" s="2"/>
      <c r="P7" s="2"/>
      <c r="Q7" s="2"/>
      <c r="R7" s="2"/>
      <c r="S7" s="2"/>
      <c r="T7" s="2"/>
      <c r="U7" s="2"/>
      <c r="V7" s="2"/>
      <c r="W7" s="2"/>
      <c r="X7" s="2"/>
      <c r="Y7" s="2"/>
      <c r="Z7" s="2"/>
      <c r="AA7" s="2"/>
      <c r="AB7" s="2"/>
      <c r="AC7" s="22"/>
      <c r="AD7" s="22"/>
      <c r="AE7" s="22"/>
      <c r="AF7" s="22"/>
      <c r="AG7" s="22"/>
      <c r="AH7" s="22"/>
      <c r="AI7" s="22"/>
      <c r="AJ7" s="22"/>
      <c r="AK7" s="22"/>
      <c r="AL7" s="22"/>
      <c r="AM7" s="22"/>
      <c r="AN7" s="22"/>
    </row>
    <row r="8" ht="36.75" customHeight="1" spans="1:40">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row>
    <row r="9" spans="1:40">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row>
    <row r="10" spans="1:4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row>
    <row r="11" ht="37" spans="1:40">
      <c r="A11" s="2"/>
      <c r="B11" s="7" t="s">
        <v>2</v>
      </c>
      <c r="C11" s="7" t="s">
        <v>3</v>
      </c>
      <c r="D11" s="7" t="s">
        <v>4</v>
      </c>
      <c r="E11" s="7" t="s">
        <v>5</v>
      </c>
      <c r="F11" s="8" t="s">
        <v>6</v>
      </c>
      <c r="G11" s="9" t="s">
        <v>7</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row>
    <row r="12" ht="18.5" spans="1:40">
      <c r="A12" s="2"/>
      <c r="B12" s="10"/>
      <c r="C12" s="11"/>
      <c r="D12" s="11"/>
      <c r="E12" s="11"/>
      <c r="F12" s="11" t="s">
        <v>6</v>
      </c>
      <c r="G12" s="11" t="s">
        <v>8</v>
      </c>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row>
    <row r="13" ht="18.5" spans="1:40">
      <c r="A13" s="2"/>
      <c r="B13" s="10" t="s">
        <v>9</v>
      </c>
      <c r="C13" s="12">
        <v>46178</v>
      </c>
      <c r="D13" s="12">
        <f>C13+E13</f>
        <v>46181</v>
      </c>
      <c r="E13" s="13">
        <v>3</v>
      </c>
      <c r="F13" s="14">
        <v>100</v>
      </c>
      <c r="G13" s="11"/>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row>
    <row r="14" ht="18.5" spans="1:40">
      <c r="A14" s="2"/>
      <c r="B14" s="10" t="s">
        <v>10</v>
      </c>
      <c r="C14" s="12">
        <f>C13</f>
        <v>46178</v>
      </c>
      <c r="D14" s="12">
        <f t="shared" ref="D14:D21" si="0">C14+E14-1</f>
        <v>46184</v>
      </c>
      <c r="E14" s="13">
        <v>7</v>
      </c>
      <c r="F14" s="14">
        <v>100</v>
      </c>
      <c r="G14" s="11"/>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row>
    <row r="15" ht="18.5" spans="1:40">
      <c r="A15" s="2"/>
      <c r="B15" s="10" t="s">
        <v>11</v>
      </c>
      <c r="C15" s="12">
        <f>D14+1</f>
        <v>46185</v>
      </c>
      <c r="D15" s="12">
        <f t="shared" si="0"/>
        <v>46191</v>
      </c>
      <c r="E15" s="13">
        <v>7</v>
      </c>
      <c r="F15" s="14">
        <v>100</v>
      </c>
      <c r="G15" s="11"/>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row>
    <row r="16" ht="18.5" spans="1:40">
      <c r="A16" s="2"/>
      <c r="B16" s="10" t="s">
        <v>12</v>
      </c>
      <c r="C16" s="12">
        <f>D15+1</f>
        <v>46192</v>
      </c>
      <c r="D16" s="12">
        <f t="shared" si="0"/>
        <v>46193</v>
      </c>
      <c r="E16" s="13">
        <v>2</v>
      </c>
      <c r="F16" s="14">
        <v>100</v>
      </c>
      <c r="G16" s="11"/>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row>
    <row r="17" ht="18.5" spans="1:40">
      <c r="A17" s="2"/>
      <c r="B17" s="10" t="s">
        <v>13</v>
      </c>
      <c r="C17" s="12">
        <f>D16+1</f>
        <v>46194</v>
      </c>
      <c r="D17" s="12">
        <f t="shared" si="0"/>
        <v>46200</v>
      </c>
      <c r="E17" s="13">
        <v>7</v>
      </c>
      <c r="F17" s="14">
        <v>100</v>
      </c>
      <c r="G17" s="11"/>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row>
    <row r="18" ht="18.5" spans="1:40">
      <c r="A18" s="2"/>
      <c r="B18" s="10" t="s">
        <v>14</v>
      </c>
      <c r="C18" s="12">
        <f>C17</f>
        <v>46194</v>
      </c>
      <c r="D18" s="12">
        <f t="shared" si="0"/>
        <v>46195</v>
      </c>
      <c r="E18" s="15">
        <v>2</v>
      </c>
      <c r="F18" s="14">
        <v>100</v>
      </c>
      <c r="G18" s="11"/>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row>
    <row r="19" ht="18.5" spans="1:40">
      <c r="A19" s="2"/>
      <c r="B19" s="10" t="s">
        <v>15</v>
      </c>
      <c r="C19" s="12">
        <f>D18+1</f>
        <v>46196</v>
      </c>
      <c r="D19" s="12">
        <f t="shared" si="0"/>
        <v>46198</v>
      </c>
      <c r="E19" s="13">
        <v>3</v>
      </c>
      <c r="F19" s="14">
        <v>100</v>
      </c>
      <c r="G19" s="11"/>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row>
    <row r="20" ht="18.5" spans="1:40">
      <c r="A20" s="2"/>
      <c r="B20" s="10" t="s">
        <v>16</v>
      </c>
      <c r="C20" s="12">
        <f>D19+1</f>
        <v>46199</v>
      </c>
      <c r="D20" s="12">
        <f t="shared" si="0"/>
        <v>46205</v>
      </c>
      <c r="E20" s="13">
        <v>7</v>
      </c>
      <c r="F20" s="14">
        <v>100</v>
      </c>
      <c r="G20" s="11"/>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row>
    <row r="21" ht="18.5" spans="1:40">
      <c r="A21" s="2"/>
      <c r="B21" s="10" t="s">
        <v>17</v>
      </c>
      <c r="C21" s="12">
        <f>D20+1</f>
        <v>46206</v>
      </c>
      <c r="D21" s="12">
        <f t="shared" si="0"/>
        <v>46208</v>
      </c>
      <c r="E21" s="13">
        <v>3</v>
      </c>
      <c r="F21" s="14">
        <v>100</v>
      </c>
      <c r="G21" s="11"/>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row>
    <row r="22" ht="18.5" spans="1:40">
      <c r="A22" s="2"/>
      <c r="B22" s="10" t="s">
        <v>18</v>
      </c>
      <c r="C22" s="16"/>
      <c r="D22" s="16"/>
      <c r="E22" s="11">
        <f>D21-C13</f>
        <v>30</v>
      </c>
      <c r="F22" s="11"/>
      <c r="G22" s="11"/>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row>
    <row r="23" spans="1:40">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row>
    <row r="24" spans="1:40">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row>
    <row r="25" spans="1:40">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row>
    <row r="26" spans="1:40">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row>
    <row r="27" spans="1:40">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row>
    <row r="28" spans="1:40">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row>
    <row r="29" spans="1:40">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row>
    <row r="30" spans="1:4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row>
    <row r="31" spans="1:40">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spans="1:40">
      <c r="A32" s="2"/>
      <c r="C32" s="2"/>
      <c r="D32" s="2"/>
      <c r="E32" s="2"/>
      <c r="F32" s="2"/>
      <c r="G32" s="2"/>
      <c r="H32" s="2"/>
      <c r="I32" s="2"/>
      <c r="J32" s="2"/>
      <c r="K32" s="2"/>
      <c r="L32" s="2"/>
      <c r="M32" s="2"/>
      <c r="N32" s="2"/>
      <c r="O32" s="2"/>
      <c r="P32" s="2"/>
      <c r="Q32" s="2"/>
      <c r="R32" s="2"/>
      <c r="S32" s="2"/>
      <c r="T32" s="19"/>
      <c r="U32" s="2"/>
      <c r="V32" s="2"/>
      <c r="W32" s="2"/>
      <c r="X32" s="2"/>
      <c r="Y32" s="2"/>
      <c r="Z32" s="2"/>
      <c r="AA32" s="2"/>
      <c r="AB32" s="2"/>
      <c r="AC32" s="2"/>
      <c r="AD32" s="2"/>
      <c r="AE32" s="2"/>
      <c r="AF32" s="2"/>
      <c r="AG32" s="2"/>
      <c r="AH32" s="2"/>
      <c r="AI32" s="2"/>
      <c r="AJ32" s="2"/>
      <c r="AK32" s="2"/>
      <c r="AL32" s="2"/>
      <c r="AM32" s="2"/>
      <c r="AN32" s="2"/>
    </row>
    <row r="33" spans="1:40">
      <c r="A33" s="2"/>
      <c r="C33" s="2"/>
      <c r="D33" s="2"/>
      <c r="E33" s="2"/>
      <c r="F33" s="2"/>
      <c r="G33" s="17"/>
      <c r="H33" s="2"/>
      <c r="I33" s="2"/>
      <c r="J33" s="2"/>
      <c r="K33" s="2"/>
      <c r="L33" s="2"/>
      <c r="M33" s="2"/>
      <c r="N33" s="2"/>
      <c r="O33" s="2"/>
      <c r="P33" s="2"/>
      <c r="Q33" s="2"/>
      <c r="R33" s="2"/>
      <c r="S33" s="2"/>
      <c r="T33" s="20"/>
      <c r="U33" s="2"/>
      <c r="V33" s="2"/>
      <c r="W33" s="2"/>
      <c r="X33" s="2"/>
      <c r="Y33" s="2"/>
      <c r="Z33" s="2"/>
      <c r="AA33" s="2"/>
      <c r="AB33" s="2"/>
      <c r="AC33" s="2"/>
      <c r="AD33" s="2"/>
      <c r="AE33" s="2"/>
      <c r="AF33" s="2"/>
      <c r="AG33" s="2"/>
      <c r="AH33" s="2"/>
      <c r="AI33" s="2"/>
      <c r="AJ33" s="2"/>
      <c r="AK33" s="2"/>
      <c r="AL33" s="2"/>
      <c r="AM33" s="2"/>
      <c r="AN33" s="2"/>
    </row>
    <row r="34" spans="1:40">
      <c r="A34" s="2"/>
      <c r="B34" s="2"/>
      <c r="C34" s="2"/>
      <c r="D34" s="2"/>
      <c r="E34" s="2"/>
      <c r="F34" s="2"/>
      <c r="G34" s="2"/>
      <c r="H34" s="2"/>
      <c r="I34" s="2"/>
      <c r="J34" s="2"/>
      <c r="K34" s="2"/>
      <c r="L34" s="2"/>
      <c r="M34" s="2"/>
      <c r="N34" s="2"/>
      <c r="O34" s="2"/>
      <c r="P34" s="2"/>
      <c r="Q34" s="2"/>
      <c r="R34" s="2"/>
      <c r="S34" s="2"/>
      <c r="T34" s="20"/>
      <c r="U34" s="2"/>
      <c r="V34" s="2"/>
      <c r="W34" s="2"/>
      <c r="X34" s="2"/>
      <c r="Y34" s="2"/>
      <c r="Z34" s="2"/>
      <c r="AA34" s="2"/>
      <c r="AB34" s="2"/>
      <c r="AC34" s="2"/>
      <c r="AD34" s="2"/>
      <c r="AE34" s="2"/>
      <c r="AF34" s="2"/>
      <c r="AG34" s="2"/>
      <c r="AH34" s="2"/>
      <c r="AI34" s="2"/>
      <c r="AJ34" s="2"/>
      <c r="AK34" s="2"/>
      <c r="AL34" s="2"/>
      <c r="AM34" s="2"/>
      <c r="AN34" s="2"/>
    </row>
    <row r="35" spans="1:40">
      <c r="A35" s="2"/>
      <c r="B35" s="2"/>
      <c r="C35" s="2"/>
      <c r="D35" s="2"/>
      <c r="E35" s="2"/>
      <c r="F35" s="2"/>
      <c r="G35" s="2"/>
      <c r="H35" s="2"/>
      <c r="I35" s="2"/>
      <c r="J35" s="2"/>
      <c r="K35" s="2"/>
      <c r="L35" s="2"/>
      <c r="M35" s="2"/>
      <c r="N35" s="2"/>
      <c r="O35" s="2"/>
      <c r="P35" s="2"/>
      <c r="Q35" s="2"/>
      <c r="R35" s="2"/>
      <c r="S35" s="2"/>
      <c r="T35" s="20"/>
      <c r="U35" s="2"/>
      <c r="V35" s="2"/>
      <c r="W35" s="2"/>
      <c r="X35" s="2"/>
      <c r="Y35" s="2"/>
      <c r="Z35" s="2"/>
      <c r="AA35" s="2"/>
      <c r="AB35" s="2"/>
      <c r="AC35" s="2"/>
      <c r="AD35" s="2"/>
      <c r="AE35" s="2"/>
      <c r="AF35" s="2"/>
      <c r="AG35" s="2"/>
      <c r="AH35" s="2"/>
      <c r="AI35" s="2"/>
      <c r="AJ35" s="2"/>
      <c r="AK35" s="2"/>
      <c r="AL35" s="2"/>
      <c r="AM35" s="2"/>
      <c r="AN35" s="2"/>
    </row>
    <row r="36" spans="1:40">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row>
    <row r="37" spans="1:40">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row>
    <row r="38" spans="1:40">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row>
    <row r="39" spans="1:40">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row>
    <row r="40" spans="1: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row>
    <row r="41" ht="23.5" spans="1:40">
      <c r="A41" s="18"/>
      <c r="B41" s="18"/>
      <c r="C41" s="18"/>
      <c r="D41" s="18"/>
      <c r="E41" s="18"/>
      <c r="F41" s="18"/>
      <c r="G41" s="18"/>
      <c r="H41" s="18"/>
      <c r="I41" s="18"/>
      <c r="J41" s="18"/>
      <c r="K41" s="18"/>
      <c r="L41" s="18"/>
      <c r="M41" s="18"/>
      <c r="N41" s="18"/>
      <c r="O41" s="18"/>
      <c r="P41" s="18"/>
      <c r="Q41" s="18"/>
      <c r="R41" s="18"/>
      <c r="S41" s="18"/>
      <c r="T41" s="18"/>
      <c r="U41" s="21"/>
      <c r="V41" s="21"/>
      <c r="W41" s="21"/>
      <c r="X41" s="21"/>
      <c r="Y41" s="21"/>
      <c r="Z41" s="21"/>
      <c r="AA41" s="21"/>
      <c r="AB41" s="21"/>
      <c r="AC41" s="21"/>
      <c r="AD41" s="21"/>
      <c r="AE41" s="21"/>
      <c r="AF41" s="21"/>
      <c r="AG41" s="21"/>
      <c r="AH41" s="21"/>
      <c r="AI41" s="21"/>
      <c r="AJ41" s="21"/>
      <c r="AK41" s="21"/>
      <c r="AL41" s="21"/>
      <c r="AM41" s="21"/>
      <c r="AN41" s="21"/>
    </row>
    <row r="42" spans="1:40">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row>
    <row r="43" spans="1:40">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row>
    <row r="44" spans="1:40">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row>
    <row r="45" spans="1:40">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row>
    <row r="46" spans="1:40">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row>
    <row r="47" spans="1:40">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row>
    <row r="48" spans="1:40">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row>
    <row r="49" spans="1:40">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row>
    <row r="50" spans="1:4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row>
    <row r="51" spans="1:40">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row>
    <row r="52" spans="1:40">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row>
    <row r="53" spans="1:40">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row>
    <row r="54" spans="1:40">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row>
    <row r="55" spans="1:40">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row>
    <row r="56" spans="1:40">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row>
    <row r="57" spans="1:40">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row>
    <row r="58" spans="1:40">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row>
    <row r="59" spans="1:40">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row>
    <row r="60" spans="1:4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row>
    <row r="61" spans="1:40">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row>
    <row r="62" spans="1:40">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row>
    <row r="63" spans="1:40">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row>
    <row r="64" spans="1:40">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row>
    <row r="65" spans="1:40">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row>
    <row r="66" spans="1:40">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row>
    <row r="67" spans="1:40">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row>
    <row r="68" spans="1:40">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row>
    <row r="69" spans="1:40">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row>
  </sheetData>
  <mergeCells count="2">
    <mergeCell ref="U41:AN41"/>
    <mergeCell ref="A1:E2"/>
  </mergeCells>
  <pageMargins left="0.7" right="0.7" top="0.75" bottom="0.75" header="0.3" footer="0.3"/>
  <headerFooter/>
  <drawing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Gantt Chart 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CraigB</dc:creator>
  <cp:lastModifiedBy>LENOVO</cp:lastModifiedBy>
  <dcterms:created xsi:type="dcterms:W3CDTF">2018-04-09T21:25:00Z</dcterms:created>
  <dcterms:modified xsi:type="dcterms:W3CDTF">2026-06-28T23:54:32Z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